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bout" sheetId="2" state="visible" r:id="rId2"/>
  </sheets>
  <definedNames>
    <definedName name="_xlnm._FilterDatabase" localSheetId="0" hidden="1">'Results'!$A$1:$H$18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×&quot;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555555"/>
    </font>
    <font>
      <name val="Arial"/>
      <b val="1"/>
      <sz val="13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8EAEE"/>
      </patternFill>
    </fill>
  </fills>
  <borders count="2">
    <border>
      <left/>
      <right/>
      <top/>
      <bottom/>
      <diagonal/>
    </border>
    <border>
      <bottom style="thin">
        <color rgb="00C9CD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0" fontId="2" fillId="0" borderId="0" pivotButton="0" quotePrefix="0" xfId="0"/>
    <xf numFmtId="3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left" wrapText="1"/>
    </xf>
    <xf numFmtId="3" fontId="2" fillId="0" borderId="0" applyAlignment="1" pivotButton="0" quotePrefix="0" xfId="0">
      <alignment horizontal="left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2" customWidth="1" min="5" max="5"/>
    <col width="14" customWidth="1" min="6" max="6"/>
    <col width="10" customWidth="1" min="7" max="7"/>
    <col width="26" customWidth="1" min="8" max="8"/>
  </cols>
  <sheetData>
    <row r="1">
      <c r="A1" s="1" t="inlineStr">
        <is>
          <t>Series</t>
        </is>
      </c>
      <c r="B1" s="1" t="inlineStr">
        <is>
          <t>Level</t>
        </is>
      </c>
      <c r="C1" s="2" t="inlineStr">
        <is>
          <t>Bytes</t>
        </is>
      </c>
      <c r="D1" s="2" t="inlineStr">
        <is>
          <t>Ratio</t>
        </is>
      </c>
      <c r="E1" s="2" t="inlineStr">
        <is>
          <t>Comp. MB/s</t>
        </is>
      </c>
      <c r="F1" s="2" t="inlineStr">
        <is>
          <t>Decomp. MB/s</t>
        </is>
      </c>
      <c r="G1" s="1" t="inlineStr">
        <is>
          <t>Frontier</t>
        </is>
      </c>
      <c r="H1" s="1" t="inlineStr">
        <is>
          <t>Notes</t>
        </is>
      </c>
    </row>
    <row r="2">
      <c r="A2" s="3" t="inlineStr">
        <is>
          <t>OpenZL -p parquet</t>
        </is>
      </c>
      <c r="B2" s="3" t="inlineStr">
        <is>
          <t>-l 1</t>
        </is>
      </c>
      <c r="C2" s="4" t="n">
        <v>537684</v>
      </c>
      <c r="D2" s="5">
        <f>About!$B$4/C2</f>
        <v/>
      </c>
      <c r="E2" s="6" t="n">
        <v>366.485</v>
      </c>
      <c r="F2" s="6" t="n">
        <v>1816.1</v>
      </c>
      <c r="G2" s="3">
        <f>MID(IF(SUMPRODUCT(($C$2:$C$18&lt;=C2)*($E$2:$E$18&gt;=E2)*((($C$2:$C$18&lt;C2)+($E$2:$E$18&gt;E2))&gt;0))=0," C","")&amp;IF(SUMPRODUCT(($C$2:$C$18&lt;=C2)*($F$2:$F$18&gt;=F2)*((($C$2:$C$18&lt;C2)+($F$2:$F$18&gt;F2))&gt;0))=0," D","")&amp;IF(SUMPRODUCT(($C$2:$C$18&lt;=C2)*($E$2:$E$18&gt;=E2)*($F$2:$F$18&gt;=F2)*((($C$2:$C$18&lt;C2)+($E$2:$E$18&gt;E2)+($F$2:$F$18&gt;F2))&gt;0))=0," 3D",""),2,9)</f>
        <v/>
      </c>
      <c r="H2" s="3" t="inlineStr"/>
    </row>
    <row r="3">
      <c r="A3" s="3" t="inlineStr">
        <is>
          <t>OpenZL -p parquet</t>
        </is>
      </c>
      <c r="B3" s="3" t="inlineStr">
        <is>
          <t>-l 2</t>
        </is>
      </c>
      <c r="C3" s="4" t="n">
        <v>539316</v>
      </c>
      <c r="D3" s="5">
        <f>About!$B$4/C3</f>
        <v/>
      </c>
      <c r="E3" s="6" t="n">
        <v>311.488</v>
      </c>
      <c r="F3" s="6" t="n">
        <v>1748.43</v>
      </c>
      <c r="G3" s="3">
        <f>MID(IF(SUMPRODUCT(($C$2:$C$18&lt;=C3)*($E$2:$E$18&gt;=E3)*((($C$2:$C$18&lt;C3)+($E$2:$E$18&gt;E3))&gt;0))=0," C","")&amp;IF(SUMPRODUCT(($C$2:$C$18&lt;=C3)*($F$2:$F$18&gt;=F3)*((($C$2:$C$18&lt;C3)+($F$2:$F$18&gt;F3))&gt;0))=0," D","")&amp;IF(SUMPRODUCT(($C$2:$C$18&lt;=C3)*($E$2:$E$18&gt;=E3)*($F$2:$F$18&gt;=F3)*((($C$2:$C$18&lt;C3)+($E$2:$E$18&gt;E3)+($F$2:$F$18&gt;F3))&gt;0))=0," 3D",""),2,9)</f>
        <v/>
      </c>
      <c r="H3" s="3" t="inlineStr"/>
    </row>
    <row r="4">
      <c r="A4" s="3" t="inlineStr">
        <is>
          <t>OpenZL -p parquet</t>
        </is>
      </c>
      <c r="B4" s="3" t="inlineStr">
        <is>
          <t>-l 3</t>
        </is>
      </c>
      <c r="C4" s="4" t="n">
        <v>543520</v>
      </c>
      <c r="D4" s="5">
        <f>About!$B$4/C4</f>
        <v/>
      </c>
      <c r="E4" s="6" t="n">
        <v>303.917</v>
      </c>
      <c r="F4" s="6" t="n">
        <v>1754.95</v>
      </c>
      <c r="G4" s="3">
        <f>MID(IF(SUMPRODUCT(($C$2:$C$18&lt;=C4)*($E$2:$E$18&gt;=E4)*((($C$2:$C$18&lt;C4)+($E$2:$E$18&gt;E4))&gt;0))=0," C","")&amp;IF(SUMPRODUCT(($C$2:$C$18&lt;=C4)*($F$2:$F$18&gt;=F4)*((($C$2:$C$18&lt;C4)+($F$2:$F$18&gt;F4))&gt;0))=0," D","")&amp;IF(SUMPRODUCT(($C$2:$C$18&lt;=C4)*($E$2:$E$18&gt;=E4)*($F$2:$F$18&gt;=F4)*((($C$2:$C$18&lt;C4)+($E$2:$E$18&gt;E4)+($F$2:$F$18&gt;F4))&gt;0))=0," 3D",""),2,9)</f>
        <v/>
      </c>
      <c r="H4" s="3" t="inlineStr"/>
    </row>
    <row r="5">
      <c r="A5" s="3" t="inlineStr">
        <is>
          <t>OpenZL -p parquet</t>
        </is>
      </c>
      <c r="B5" s="3" t="inlineStr">
        <is>
          <t>-l 4</t>
        </is>
      </c>
      <c r="C5" s="4" t="n">
        <v>577403</v>
      </c>
      <c r="D5" s="5">
        <f>About!$B$4/C5</f>
        <v/>
      </c>
      <c r="E5" s="6" t="n">
        <v>134.879</v>
      </c>
      <c r="F5" s="6" t="n">
        <v>1108.86</v>
      </c>
      <c r="G5" s="3">
        <f>MID(IF(SUMPRODUCT(($C$2:$C$18&lt;=C5)*($E$2:$E$18&gt;=E5)*((($C$2:$C$18&lt;C5)+($E$2:$E$18&gt;E5))&gt;0))=0," C","")&amp;IF(SUMPRODUCT(($C$2:$C$18&lt;=C5)*($F$2:$F$18&gt;=F5)*((($C$2:$C$18&lt;C5)+($F$2:$F$18&gt;F5))&gt;0))=0," D","")&amp;IF(SUMPRODUCT(($C$2:$C$18&lt;=C5)*($E$2:$E$18&gt;=E5)*($F$2:$F$18&gt;=F5)*((($C$2:$C$18&lt;C5)+($E$2:$E$18&gt;E5)+($F$2:$F$18&gt;F5))&gt;0))=0," 3D",""),2,9)</f>
        <v/>
      </c>
      <c r="H5" s="3" t="inlineStr"/>
    </row>
    <row r="6">
      <c r="A6" s="3" t="inlineStr">
        <is>
          <t>OpenZL -p parquet</t>
        </is>
      </c>
      <c r="B6" s="3" t="inlineStr">
        <is>
          <t>-l 5</t>
        </is>
      </c>
      <c r="C6" s="4" t="n">
        <v>567939</v>
      </c>
      <c r="D6" s="5">
        <f>About!$B$4/C6</f>
        <v/>
      </c>
      <c r="E6" s="6" t="n">
        <v>125.742</v>
      </c>
      <c r="F6" s="6" t="n">
        <v>1159.53</v>
      </c>
      <c r="G6" s="3">
        <f>MID(IF(SUMPRODUCT(($C$2:$C$18&lt;=C6)*($E$2:$E$18&gt;=E6)*((($C$2:$C$18&lt;C6)+($E$2:$E$18&gt;E6))&gt;0))=0," C","")&amp;IF(SUMPRODUCT(($C$2:$C$18&lt;=C6)*($F$2:$F$18&gt;=F6)*((($C$2:$C$18&lt;C6)+($F$2:$F$18&gt;F6))&gt;0))=0," D","")&amp;IF(SUMPRODUCT(($C$2:$C$18&lt;=C6)*($E$2:$E$18&gt;=E6)*($F$2:$F$18&gt;=F6)*((($C$2:$C$18&lt;C6)+($E$2:$E$18&gt;E6)+($F$2:$F$18&gt;F6))&gt;0))=0," 3D",""),2,9)</f>
        <v/>
      </c>
      <c r="H6" s="3" t="inlineStr"/>
    </row>
    <row r="7">
      <c r="A7" s="3" t="inlineStr">
        <is>
          <t>OpenZL -p parquet</t>
        </is>
      </c>
      <c r="B7" s="3" t="inlineStr">
        <is>
          <t>-l 6</t>
        </is>
      </c>
      <c r="C7" s="4" t="n">
        <v>562193</v>
      </c>
      <c r="D7" s="5">
        <f>About!$B$4/C7</f>
        <v/>
      </c>
      <c r="E7" s="6" t="n">
        <v>121.18</v>
      </c>
      <c r="F7" s="6" t="n">
        <v>1179.88</v>
      </c>
      <c r="G7" s="3">
        <f>MID(IF(SUMPRODUCT(($C$2:$C$18&lt;=C7)*($E$2:$E$18&gt;=E7)*((($C$2:$C$18&lt;C7)+($E$2:$E$18&gt;E7))&gt;0))=0," C","")&amp;IF(SUMPRODUCT(($C$2:$C$18&lt;=C7)*($F$2:$F$18&gt;=F7)*((($C$2:$C$18&lt;C7)+($F$2:$F$18&gt;F7))&gt;0))=0," D","")&amp;IF(SUMPRODUCT(($C$2:$C$18&lt;=C7)*($E$2:$E$18&gt;=E7)*($F$2:$F$18&gt;=F7)*((($C$2:$C$18&lt;C7)+($E$2:$E$18&gt;E7)+($F$2:$F$18&gt;F7))&gt;0))=0," 3D",""),2,9)</f>
        <v/>
      </c>
      <c r="H7" s="3" t="inlineStr">
        <is>
          <t>traced</t>
        </is>
      </c>
    </row>
    <row r="8">
      <c r="A8" s="3" t="inlineStr">
        <is>
          <t>OpenZL -p parquet</t>
        </is>
      </c>
      <c r="B8" s="3" t="inlineStr">
        <is>
          <t>-l 7</t>
        </is>
      </c>
      <c r="C8" s="4" t="n">
        <v>560396</v>
      </c>
      <c r="D8" s="5">
        <f>About!$B$4/C8</f>
        <v/>
      </c>
      <c r="E8" s="6" t="n">
        <v>115.341</v>
      </c>
      <c r="F8" s="6" t="n">
        <v>1186.67</v>
      </c>
      <c r="G8" s="3">
        <f>MID(IF(SUMPRODUCT(($C$2:$C$18&lt;=C8)*($E$2:$E$18&gt;=E8)*((($C$2:$C$18&lt;C8)+($E$2:$E$18&gt;E8))&gt;0))=0," C","")&amp;IF(SUMPRODUCT(($C$2:$C$18&lt;=C8)*($F$2:$F$18&gt;=F8)*((($C$2:$C$18&lt;C8)+($F$2:$F$18&gt;F8))&gt;0))=0," D","")&amp;IF(SUMPRODUCT(($C$2:$C$18&lt;=C8)*($E$2:$E$18&gt;=E8)*($F$2:$F$18&gt;=F8)*((($C$2:$C$18&lt;C8)+($E$2:$E$18&gt;E8)+($F$2:$F$18&gt;F8))&gt;0))=0," 3D",""),2,9)</f>
        <v/>
      </c>
      <c r="H8" s="3" t="inlineStr"/>
    </row>
    <row r="9">
      <c r="A9" s="3" t="inlineStr">
        <is>
          <t>OpenZL -p parquet</t>
        </is>
      </c>
      <c r="B9" s="3" t="inlineStr">
        <is>
          <t>-l 8</t>
        </is>
      </c>
      <c r="C9" s="4" t="n">
        <v>559403</v>
      </c>
      <c r="D9" s="5">
        <f>About!$B$4/C9</f>
        <v/>
      </c>
      <c r="E9" s="6" t="n">
        <v>110.799</v>
      </c>
      <c r="F9" s="6" t="n">
        <v>1189.14</v>
      </c>
      <c r="G9" s="3">
        <f>MID(IF(SUMPRODUCT(($C$2:$C$18&lt;=C9)*($E$2:$E$18&gt;=E9)*((($C$2:$C$18&lt;C9)+($E$2:$E$18&gt;E9))&gt;0))=0," C","")&amp;IF(SUMPRODUCT(($C$2:$C$18&lt;=C9)*($F$2:$F$18&gt;=F9)*((($C$2:$C$18&lt;C9)+($F$2:$F$18&gt;F9))&gt;0))=0," D","")&amp;IF(SUMPRODUCT(($C$2:$C$18&lt;=C9)*($E$2:$E$18&gt;=E9)*($F$2:$F$18&gt;=F9)*((($C$2:$C$18&lt;C9)+($E$2:$E$18&gt;E9)+($F$2:$F$18&gt;F9))&gt;0))=0," 3D",""),2,9)</f>
        <v/>
      </c>
      <c r="H9" s="3" t="inlineStr"/>
    </row>
    <row r="10">
      <c r="A10" s="3" t="inlineStr">
        <is>
          <t>OpenZL -p parquet</t>
        </is>
      </c>
      <c r="B10" s="3" t="inlineStr">
        <is>
          <t>-l 9</t>
        </is>
      </c>
      <c r="C10" s="4" t="n">
        <v>559314</v>
      </c>
      <c r="D10" s="5">
        <f>About!$B$4/C10</f>
        <v/>
      </c>
      <c r="E10" s="6" t="n">
        <v>106.59</v>
      </c>
      <c r="F10" s="6" t="n">
        <v>1184.58</v>
      </c>
      <c r="G10" s="3">
        <f>MID(IF(SUMPRODUCT(($C$2:$C$18&lt;=C10)*($E$2:$E$18&gt;=E10)*((($C$2:$C$18&lt;C10)+($E$2:$E$18&gt;E10))&gt;0))=0," C","")&amp;IF(SUMPRODUCT(($C$2:$C$18&lt;=C10)*($F$2:$F$18&gt;=F10)*((($C$2:$C$18&lt;C10)+($F$2:$F$18&gt;F10))&gt;0))=0," D","")&amp;IF(SUMPRODUCT(($C$2:$C$18&lt;=C10)*($E$2:$E$18&gt;=E10)*($F$2:$F$18&gt;=F10)*((($C$2:$C$18&lt;C10)+($E$2:$E$18&gt;E10)+($F$2:$F$18&gt;F10))&gt;0))=0," 3D",""),2,9)</f>
        <v/>
      </c>
      <c r="H10" s="3" t="inlineStr"/>
    </row>
    <row r="11">
      <c r="A11" s="3" t="inlineStr">
        <is>
          <t>OpenZL -p parquet</t>
        </is>
      </c>
      <c r="B11" s="3" t="inlineStr">
        <is>
          <t>-l 12</t>
        </is>
      </c>
      <c r="C11" s="4" t="n">
        <v>555977</v>
      </c>
      <c r="D11" s="5">
        <f>About!$B$4/C11</f>
        <v/>
      </c>
      <c r="E11" s="6" t="n">
        <v>63.7167</v>
      </c>
      <c r="F11" s="6" t="n">
        <v>1192.88</v>
      </c>
      <c r="G11" s="3">
        <f>MID(IF(SUMPRODUCT(($C$2:$C$18&lt;=C11)*($E$2:$E$18&gt;=E11)*((($C$2:$C$18&lt;C11)+($E$2:$E$18&gt;E11))&gt;0))=0," C","")&amp;IF(SUMPRODUCT(($C$2:$C$18&lt;=C11)*($F$2:$F$18&gt;=F11)*((($C$2:$C$18&lt;C11)+($F$2:$F$18&gt;F11))&gt;0))=0," D","")&amp;IF(SUMPRODUCT(($C$2:$C$18&lt;=C11)*($E$2:$E$18&gt;=E11)*($F$2:$F$18&gt;=F11)*((($C$2:$C$18&lt;C11)+($E$2:$E$18&gt;E11)+($F$2:$F$18&gt;F11))&gt;0))=0," 3D",""),2,9)</f>
        <v/>
      </c>
      <c r="H11" s="3" t="inlineStr"/>
    </row>
    <row r="12">
      <c r="A12" s="3" t="inlineStr">
        <is>
          <t>OpenZL -p parquet</t>
        </is>
      </c>
      <c r="B12" s="3" t="inlineStr">
        <is>
          <t>-l 15</t>
        </is>
      </c>
      <c r="C12" s="4" t="n">
        <v>552914</v>
      </c>
      <c r="D12" s="5">
        <f>About!$B$4/C12</f>
        <v/>
      </c>
      <c r="E12" s="6" t="n">
        <v>44.6435</v>
      </c>
      <c r="F12" s="6" t="n">
        <v>1186.21</v>
      </c>
      <c r="G12" s="3">
        <f>MID(IF(SUMPRODUCT(($C$2:$C$18&lt;=C12)*($E$2:$E$18&gt;=E12)*((($C$2:$C$18&lt;C12)+($E$2:$E$18&gt;E12))&gt;0))=0," C","")&amp;IF(SUMPRODUCT(($C$2:$C$18&lt;=C12)*($F$2:$F$18&gt;=F12)*((($C$2:$C$18&lt;C12)+($F$2:$F$18&gt;F12))&gt;0))=0," D","")&amp;IF(SUMPRODUCT(($C$2:$C$18&lt;=C12)*($E$2:$E$18&gt;=E12)*($F$2:$F$18&gt;=F12)*((($C$2:$C$18&lt;C12)+($E$2:$E$18&gt;E12)+($F$2:$F$18&gt;F12))&gt;0))=0," 3D",""),2,9)</f>
        <v/>
      </c>
      <c r="H12" s="3" t="inlineStr"/>
    </row>
    <row r="13">
      <c r="A13" s="3" t="inlineStr">
        <is>
          <t>OpenZL -p parquet</t>
        </is>
      </c>
      <c r="B13" s="3" t="inlineStr">
        <is>
          <t>-l 19</t>
        </is>
      </c>
      <c r="C13" s="4" t="n">
        <v>546284</v>
      </c>
      <c r="D13" s="5">
        <f>About!$B$4/C13</f>
        <v/>
      </c>
      <c r="E13" s="7" t="n">
        <v>8.393649999999999</v>
      </c>
      <c r="F13" s="6" t="n">
        <v>1163.02</v>
      </c>
      <c r="G13" s="3">
        <f>MID(IF(SUMPRODUCT(($C$2:$C$18&lt;=C13)*($E$2:$E$18&gt;=E13)*((($C$2:$C$18&lt;C13)+($E$2:$E$18&gt;E13))&gt;0))=0," C","")&amp;IF(SUMPRODUCT(($C$2:$C$18&lt;=C13)*($F$2:$F$18&gt;=F13)*((($C$2:$C$18&lt;C13)+($F$2:$F$18&gt;F13))&gt;0))=0," D","")&amp;IF(SUMPRODUCT(($C$2:$C$18&lt;=C13)*($E$2:$E$18&gt;=E13)*($F$2:$F$18&gt;=F13)*((($C$2:$C$18&lt;C13)+($E$2:$E$18&gt;E13)+($F$2:$F$18&gt;F13))&gt;0))=0," 3D",""),2,9)</f>
        <v/>
      </c>
      <c r="H13" s="3" t="inlineStr">
        <is>
          <t>short run (D)</t>
        </is>
      </c>
    </row>
    <row r="14">
      <c r="A14" s="3" t="inlineStr">
        <is>
          <t>OpenZL -p parquet</t>
        </is>
      </c>
      <c r="B14" s="3" t="inlineStr">
        <is>
          <t>-l 22</t>
        </is>
      </c>
      <c r="C14" s="4" t="n">
        <v>546214</v>
      </c>
      <c r="D14" s="5">
        <f>About!$B$4/C14</f>
        <v/>
      </c>
      <c r="E14" s="7" t="n">
        <v>6.56989</v>
      </c>
      <c r="F14" s="6" t="n">
        <v>1158.32</v>
      </c>
      <c r="G14" s="3">
        <f>MID(IF(SUMPRODUCT(($C$2:$C$18&lt;=C14)*($E$2:$E$18&gt;=E14)*((($C$2:$C$18&lt;C14)+($E$2:$E$18&gt;E14))&gt;0))=0," C","")&amp;IF(SUMPRODUCT(($C$2:$C$18&lt;=C14)*($F$2:$F$18&gt;=F14)*((($C$2:$C$18&lt;C14)+($F$2:$F$18&gt;F14))&gt;0))=0," D","")&amp;IF(SUMPRODUCT(($C$2:$C$18&lt;=C14)*($E$2:$E$18&gt;=E14)*($F$2:$F$18&gt;=F14)*((($C$2:$C$18&lt;C14)+($E$2:$E$18&gt;E14)+($F$2:$F$18&gt;F14))&gt;0))=0," 3D",""),2,9)</f>
        <v/>
      </c>
      <c r="H14" s="3" t="inlineStr">
        <is>
          <t>short run (D)</t>
        </is>
      </c>
    </row>
    <row r="15">
      <c r="A15" s="3" t="inlineStr">
        <is>
          <t>zstd</t>
        </is>
      </c>
      <c r="B15" s="3" t="inlineStr">
        <is>
          <t>-3</t>
        </is>
      </c>
      <c r="C15" s="4" t="n">
        <v>713069</v>
      </c>
      <c r="D15" s="5">
        <f>About!$B$4/C15</f>
        <v/>
      </c>
      <c r="E15" s="6" t="n">
        <v>321.95</v>
      </c>
      <c r="F15" s="6" t="n">
        <v>1280.5</v>
      </c>
      <c r="G15" s="3">
        <f>MID(IF(SUMPRODUCT(($C$2:$C$18&lt;=C15)*($E$2:$E$18&gt;=E15)*((($C$2:$C$18&lt;C15)+($E$2:$E$18&gt;E15))&gt;0))=0," C","")&amp;IF(SUMPRODUCT(($C$2:$C$18&lt;=C15)*($F$2:$F$18&gt;=F15)*((($C$2:$C$18&lt;C15)+($F$2:$F$18&gt;F15))&gt;0))=0," D","")&amp;IF(SUMPRODUCT(($C$2:$C$18&lt;=C15)*($E$2:$E$18&gt;=E15)*($F$2:$F$18&gt;=F15)*((($C$2:$C$18&lt;C15)+($E$2:$E$18&gt;E15)+($F$2:$F$18&gt;F15))&gt;0))=0," 3D",""),2,9)</f>
        <v/>
      </c>
      <c r="H15" s="3" t="inlineStr"/>
    </row>
    <row r="16">
      <c r="A16" s="3" t="inlineStr">
        <is>
          <t>zstd</t>
        </is>
      </c>
      <c r="B16" s="3" t="inlineStr">
        <is>
          <t>-6</t>
        </is>
      </c>
      <c r="C16" s="4" t="n">
        <v>681398</v>
      </c>
      <c r="D16" s="5">
        <f>About!$B$4/C16</f>
        <v/>
      </c>
      <c r="E16" s="6" t="n">
        <v>116.77</v>
      </c>
      <c r="F16" s="6" t="n">
        <v>1410.2</v>
      </c>
      <c r="G16" s="3">
        <f>MID(IF(SUMPRODUCT(($C$2:$C$18&lt;=C16)*($E$2:$E$18&gt;=E16)*((($C$2:$C$18&lt;C16)+($E$2:$E$18&gt;E16))&gt;0))=0," C","")&amp;IF(SUMPRODUCT(($C$2:$C$18&lt;=C16)*($F$2:$F$18&gt;=F16)*((($C$2:$C$18&lt;C16)+($F$2:$F$18&gt;F16))&gt;0))=0," D","")&amp;IF(SUMPRODUCT(($C$2:$C$18&lt;=C16)*($E$2:$E$18&gt;=E16)*($F$2:$F$18&gt;=F16)*((($C$2:$C$18&lt;C16)+($E$2:$E$18&gt;E16)+($F$2:$F$18&gt;F16))&gt;0))=0," 3D",""),2,9)</f>
        <v/>
      </c>
      <c r="H16" s="3" t="inlineStr"/>
    </row>
    <row r="17">
      <c r="A17" s="3" t="inlineStr">
        <is>
          <t>zstd</t>
        </is>
      </c>
      <c r="B17" s="3" t="inlineStr">
        <is>
          <t>-9</t>
        </is>
      </c>
      <c r="C17" s="4" t="n">
        <v>669274</v>
      </c>
      <c r="D17" s="5">
        <f>About!$B$4/C17</f>
        <v/>
      </c>
      <c r="E17" s="6" t="n">
        <v>76.77</v>
      </c>
      <c r="F17" s="6" t="n">
        <v>1486.3</v>
      </c>
      <c r="G17" s="3">
        <f>MID(IF(SUMPRODUCT(($C$2:$C$18&lt;=C17)*($E$2:$E$18&gt;=E17)*((($C$2:$C$18&lt;C17)+($E$2:$E$18&gt;E17))&gt;0))=0," C","")&amp;IF(SUMPRODUCT(($C$2:$C$18&lt;=C17)*($F$2:$F$18&gt;=F17)*((($C$2:$C$18&lt;C17)+($F$2:$F$18&gt;F17))&gt;0))=0," D","")&amp;IF(SUMPRODUCT(($C$2:$C$18&lt;=C17)*($E$2:$E$18&gt;=E17)*($F$2:$F$18&gt;=F17)*((($C$2:$C$18&lt;C17)+($E$2:$E$18&gt;E17)+($F$2:$F$18&gt;F17))&gt;0))=0," 3D",""),2,9)</f>
        <v/>
      </c>
      <c r="H17" s="3" t="inlineStr"/>
    </row>
    <row r="18">
      <c r="A18" s="3" t="inlineStr">
        <is>
          <t>zstd</t>
        </is>
      </c>
      <c r="B18" s="3" t="inlineStr">
        <is>
          <t>-12</t>
        </is>
      </c>
      <c r="C18" s="4" t="n">
        <v>660358</v>
      </c>
      <c r="D18" s="5">
        <f>About!$B$4/C18</f>
        <v/>
      </c>
      <c r="E18" s="6" t="n">
        <v>36.08</v>
      </c>
      <c r="F18" s="6" t="n">
        <v>1571.8</v>
      </c>
      <c r="G18" s="3">
        <f>MID(IF(SUMPRODUCT(($C$2:$C$18&lt;=C18)*($E$2:$E$18&gt;=E18)*((($C$2:$C$18&lt;C18)+($E$2:$E$18&gt;E18))&gt;0))=0," C","")&amp;IF(SUMPRODUCT(($C$2:$C$18&lt;=C18)*($F$2:$F$18&gt;=F18)*((($C$2:$C$18&lt;C18)+($F$2:$F$18&gt;F18))&gt;0))=0," D","")&amp;IF(SUMPRODUCT(($C$2:$C$18&lt;=C18)*($E$2:$E$18&gt;=E18)*($F$2:$F$18&gt;=F18)*((($C$2:$C$18&lt;C18)+($E$2:$E$18&gt;E18)+($F$2:$F$18&gt;F18))&gt;0))=0," 3D",""),2,9)</f>
        <v/>
      </c>
      <c r="H18" s="3" t="inlineStr"/>
    </row>
    <row r="20">
      <c r="A20" s="8" t="inlineStr">
        <is>
          <t>Bytes and speeds are measured values (see the About sheet); Ratio and Frontier are formulas over them. Speeds are the best of the runs, in MB/s on one core.</t>
        </is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9" t="inlineStr">
        <is>
          <t>Ratio vs speed</t>
        </is>
      </c>
    </row>
    <row r="2">
      <c r="A2" s="10" t="inlineStr">
        <is>
          <t>Input file</t>
        </is>
      </c>
      <c r="B2" s="11" t="inlineStr">
        <is>
          <t>sensors.parquet</t>
        </is>
      </c>
    </row>
    <row r="3">
      <c r="A3" s="10" t="inlineStr">
        <is>
          <t>Input SHA-256</t>
        </is>
      </c>
      <c r="B3" s="11" t="inlineStr">
        <is>
          <t>82ae5369d5273bde55471c118ef1ee88a060776427ce2a6b9897c22790935c45</t>
        </is>
      </c>
    </row>
    <row r="4">
      <c r="A4" s="10" t="inlineStr">
        <is>
          <t>Input bytes</t>
        </is>
      </c>
      <c r="B4" s="12" t="n">
        <v>2889011</v>
      </c>
    </row>
    <row r="5">
      <c r="A5" s="10" t="inlineStr">
        <is>
          <t>Measured</t>
        </is>
      </c>
      <c r="B5" s="11" t="inlineStr">
        <is>
          <t>2026-09-17 12:47 UTC</t>
        </is>
      </c>
    </row>
    <row r="6">
      <c r="A6" s="10" t="inlineStr">
        <is>
          <t>Machine</t>
        </is>
      </c>
      <c r="B6" s="11" t="inlineStr">
        <is>
          <t>AMD EPYC 9124 16-Core Processor, 32 logical CPUs, kernel 6.8.0-136-generic, governor schedutil</t>
        </is>
      </c>
    </row>
    <row r="7">
      <c r="A7" s="10" t="inlineStr">
        <is>
          <t>Core</t>
        </is>
      </c>
      <c r="B7" s="11" t="inlineStr">
        <is>
          <t>one core (core 6), pinned with taskset</t>
        </is>
      </c>
    </row>
    <row r="8">
      <c r="A8" s="10" t="inlineStr">
        <is>
          <t>Runs</t>
        </is>
      </c>
      <c r="B8" s="11" t="inlineStr">
        <is>
          <t>best of 3 rounds; each zli run timed at least 0.5 s</t>
        </is>
      </c>
    </row>
    <row r="9">
      <c r="A9" s="10" t="inlineStr">
        <is>
          <t>Levels</t>
        </is>
      </c>
      <c r="B9" s="11" t="inlineStr">
        <is>
          <t>zli 1-9,12,15,19,22; zstd 3,6,9,12</t>
        </is>
      </c>
    </row>
    <row r="10">
      <c r="A10" s="10" t="inlineStr">
        <is>
          <t>zli</t>
        </is>
      </c>
      <c r="B10" s="11" t="inlineStr">
        <is>
          <t>cachedObjs/a847d4ccf764f93fd4db504e64368ed8/zli (zstrong-cli version 0.1), sha256 df7c82bc0bc3…; built without -march: OpenZL SIMD kernels off</t>
        </is>
      </c>
    </row>
    <row r="11">
      <c r="A11" s="10" t="inlineStr">
        <is>
          <t>zstd</t>
        </is>
      </c>
      <c r="B11" s="11" t="inlineStr">
        <is>
          <t>~/miniforge3/bin/zstd 1.5.7, sha256 08a60ba61031…</t>
        </is>
      </c>
    </row>
    <row r="12">
      <c r="A12" s="10" t="inlineStr">
        <is>
          <t>Run notes</t>
        </is>
      </c>
      <c r="B12" s="11" t="inlineStr">
        <is>
          <t>Switched from core 4 to core 0 because core 4 was busy. Switched from core 0 to core 5 because core 0 was busy. Switched from core 5 to core 6 because core 5 was busy.</t>
        </is>
      </c>
    </row>
    <row r="13">
      <c r="A13" s="10" t="inlineStr">
        <is>
          <t>Source</t>
        </is>
      </c>
      <c r="B13" s="11" t="inlineStr">
        <is>
          <t>codec_reviewer.py --bench results (sensors.bench.json)</t>
        </is>
      </c>
    </row>
    <row r="14">
      <c r="A14" s="10" t="n"/>
    </row>
    <row r="15">
      <c r="A15" s="13" t="inlineStr">
        <is>
          <t>Legend</t>
        </is>
      </c>
    </row>
    <row r="16">
      <c r="A16" s="10" t="inlineStr">
        <is>
          <t>Ratio</t>
        </is>
      </c>
      <c r="B16" s="11" t="inlineStr">
        <is>
          <t>input bytes ÷ compressed bytes</t>
        </is>
      </c>
    </row>
    <row r="17">
      <c r="A17" s="10" t="inlineStr">
        <is>
          <t>Frontier C</t>
        </is>
      </c>
      <c r="B17" s="11" t="inlineStr">
        <is>
          <t>no other point is as small and as fast to compress</t>
        </is>
      </c>
    </row>
    <row r="18">
      <c r="A18" s="10" t="inlineStr">
        <is>
          <t>Frontier D</t>
        </is>
      </c>
      <c r="B18" s="11" t="inlineStr">
        <is>
          <t>no other point is as small and as fast to decompress</t>
        </is>
      </c>
    </row>
    <row r="19">
      <c r="A19" s="10" t="inlineStr">
        <is>
          <t>Frontier 3D</t>
        </is>
      </c>
      <c r="B19" s="11" t="inlineStr">
        <is>
          <t>no other point is as small, as fast to compress and as fast to decompress</t>
        </is>
      </c>
    </row>
    <row r="20">
      <c r="A20" s="10" t="inlineStr">
        <is>
          <t>short run (D)</t>
        </is>
      </c>
      <c r="B20" s="11" t="inlineStr">
        <is>
          <t>the best decompression run took under 0.05 s, so that speed is rough (~ in the reviewer)</t>
        </is>
      </c>
    </row>
    <row r="21">
      <c r="A21" s="10" t="inlineStr">
        <is>
          <t>traced</t>
        </is>
      </c>
      <c r="B21" s="11" t="inlineStr">
        <is>
          <t>the run the reviewed trace came from (zli's default level 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2026-09-17T16:32:35Z</dcterms:created>
  <dcterms:modified xsi:type="dcterms:W3CDTF">2026-09-17T16:32:35Z</dcterms:modified>
</cp:coreProperties>
</file>